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Github\Competitive-Handbook\"/>
    </mc:Choice>
  </mc:AlternateContent>
  <xr:revisionPtr revIDLastSave="0" documentId="13_ncr:1_{734E69D8-531F-4631-AD22-8018897C4C40}" xr6:coauthVersionLast="47" xr6:coauthVersionMax="47" xr10:uidLastSave="{00000000-0000-0000-0000-000000000000}"/>
  <bookViews>
    <workbookView xWindow="0" yWindow="528" windowWidth="19692" windowHeight="11352" xr2:uid="{814F786C-49FD-446C-8BBB-F2200A607D35}"/>
  </bookViews>
  <sheets>
    <sheet name="1% Lebih Baik" sheetId="1" r:id="rId1"/>
    <sheet name="Sheet2" sheetId="2" r:id="rId2"/>
    <sheet name="Graph"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8" i="1" l="1"/>
  <c r="A32" i="1"/>
  <c r="A25" i="1"/>
  <c r="A20" i="1"/>
  <c r="A15" i="1"/>
  <c r="A9" i="1"/>
  <c r="A7" i="1"/>
  <c r="A4" i="1"/>
</calcChain>
</file>

<file path=xl/sharedStrings.xml><?xml version="1.0" encoding="utf-8"?>
<sst xmlns="http://schemas.openxmlformats.org/spreadsheetml/2006/main" count="40" uniqueCount="40">
  <si>
    <t>Tanggal</t>
  </si>
  <si>
    <t>Peningkatan 1%</t>
  </si>
  <si>
    <t>Membuat program pencatatan yang rapi di Obsidian notes. Seperti membuat koneksi antara materi dan soal dengan menggunakan ID khusus, menambahkan kategori berbeda, menambahkan link ke problem statement yang sedang dicoba untuk belajar, dan sebagainya.</t>
  </si>
  <si>
    <t>Membuat sistem yang tertrukstur dan terorganisir tentang bagaimana mengaitkan materi dengan soal. Membuat templater yang rapi, dan membuat obsidian notes yang terpisah dari folder latihan problem statement di vs code.</t>
  </si>
  <si>
    <t>Aku membuat folder "Tips trick", yang berisi tips trick singkat yang bisa digunakan di dalam C++. Folder ini akan menyimpan berbagai metode yang kadang tidak terpikirkan, namun sangat berguna dalam pemrograman.</t>
  </si>
  <si>
    <t>Aku selesai menerjemahkan materi dari buku Competitive Programming Handbook karya Antii Laaksonen. Menerjemahkan dari bab pertama hingga bab terakhir, yaitu sebanyak 30 bab. Sangat banyak dan melelahkan. Selain menerjemahkan, formatnya aku jaga rapi, dengan ketelitian dan presisi tinggi. Hasil terjemahan ini akan sangat-sangat membantu proses belajar competitive programming dan mempelajari algoritma lain.</t>
  </si>
  <si>
    <t>Aku menyetel VS code dengan beberapa snippet dasar. Mempercepat penulisan kode.</t>
  </si>
  <si>
    <t>Membuat folder woodpecker method, dimana aku mengoleksi beberapa sesi latihan beberapa algoritma.</t>
  </si>
  <si>
    <t>Membuat file code base, file sementara untuk mencoba-coba beberapa algoritma, tapi hanya untuk tempat latihan sementara, karena jika belajar algoritma lain, algoritma yang ditulis disana akan dihapus, dan dituliskan kode yang lain lagi.</t>
  </si>
  <si>
    <t>Memperbaiki penggunaan ID.</t>
  </si>
  <si>
    <t>Bergabung dengan beberapa grup discord tentang pemrograman competitive. Ada yang dari India, Bangladesh, dan beberapa server international. Bagus untuk saling berkomunikasi seputar pemrograman kompetitive.</t>
  </si>
  <si>
    <t>Menyalin beberapa materi dari geeksforgeeks, lalu menggabungkanya dengan penjelasan yang lebih lengkap dari ChatGPT, adalah kombinasi yang bagus. Editorial menjadi lebih lengkap.</t>
  </si>
  <si>
    <t>Menggunakan Aplikasi Figma untuk mempermudah visualisasi, terutama pada algoritma-algoritma sulit seperti graph lanjutan.</t>
  </si>
  <si>
    <t>peningkatan sesi latihan</t>
  </si>
  <si>
    <t>peningkatan algoritma</t>
  </si>
  <si>
    <t>#notes</t>
  </si>
  <si>
    <t>S</t>
  </si>
  <si>
    <t>https://codeforcesladders.firebaseapp.com/</t>
  </si>
  <si>
    <t>codeforces rating 1300&lt;</t>
  </si>
  <si>
    <t>Beautiful Matrix</t>
  </si>
  <si>
    <t>Mendapatkan materi shortcut VS code untuk mempercepat pekerjaan</t>
  </si>
  <si>
    <t>Menambahkan beberapa situs contest online kedalam bookmark chrome, sehingga bisa mengikuti kontes online secara rutin</t>
  </si>
  <si>
    <t>Menambahkan situs CLIST, yang berisi jadwal lengkap tentang semua contest online yang diselenggarakan dari berbagai platform, sangat memudahkan untuk mengetahui semua jadwal contest.</t>
  </si>
  <si>
    <t>Aku mengkatifkan "Sync and Google services" pada chrome yang aku gunakan untuk login. Hal ini akan membuat semua history, bookmark, dan ekstension bisa digunakan dari perangkat manapun, sehingga situs-situs yang ditandai tidak akan hilang. Jika menggunakan perangkat lain, cukup login Google Chrome dengan akun google yang sama, dan semua aman!</t>
  </si>
  <si>
    <t>Untuk Platform seperti Codeforce, aku menggunakan A2OJ Ladders,  yang berisi ringkasan berbagai macam problem dengan urutan yang sudah diurutkan. Dan membuat folder terpisah khusus untuk soal-soal dari CodeForces di VS code.</t>
  </si>
  <si>
    <t>Aku mengupgrade compiler ke compiler terbaru (GCC++23), sehingga bisa menggunakan fungsi-fungsi yang hanya tersedia di compiler terbaru, seperti fungsi contains()</t>
  </si>
  <si>
    <t>Aku memodifikasi task.json dan setting.json agar sesuai dengan pembaruan compiler.</t>
  </si>
  <si>
    <t>Aku mennyempurnakan pemisahaan folder CodeForces-Contest, sehingga tidak terlalu memusingkan ketika harus berurusan dengan folder. Hal ini membantu mengarahkan fokus dengan lebih baik. Penyempurnaan ini juga dilakukan dengan menggunakan bantuan Extension Project Manager, sehingga navigasi antar folder menjadi sangat mudah.</t>
  </si>
  <si>
    <t>VS Code memiliki fitur debugger. Aku mengkonfigurasi debugger bawaan Extension C/C++ Microsoft, dengan launch.json. Sekarang, aku bisa melakukan debug pada kode, dan melihat bagaimana variabel, array, kode, dan alur program buatanku bekerja dalam setiap langkah yang aku tentukan. Hal ini membuatku membuatkau bisa melihat pada alur mana program mengalami bug, atau tidak berjalan sesuai algoritma yang sudah direncanakan.</t>
  </si>
  <si>
    <t>Aku mengcommit pembaruan untuk update compiler dan pemasangan debugger, sehingga sekarang konfigurasi itu tersimpan aman di github</t>
  </si>
  <si>
    <t>Ada sangat banyak pembaruan yang terjadi, proses dalam perubahan tersebut juga sangat panjang dan memakan waktu seharian. Untuk mengatasi  terpakainya waktu untuk melakukan pekerjaan yang sama dimasa depan, aku membuat dokumentasi sederhana tentang update compiler, pengaturan task.json, setting.json, dan launch.json. Termasuk pemasangan debugger, dan juga aktivitas yang berkaitan dengan GIT</t>
  </si>
  <si>
    <t>Menambahkan cheat sheet GIT</t>
  </si>
  <si>
    <t xml:space="preserve">VS code mampu membedah dan mendebug kode, namun, dalam beberapa kasus, snippet vscode mengalami delay sekitar 1 detik, dan itu cukup mengganggu ketika aku sedang mencoba mengetik dengan cepat. </t>
  </si>
  <si>
    <t>Berdasarkan forum yang ada di CodeForces, beberapa programmer merasa bahwa competitive programming membutuhkan kode editor yang ringan dan cepat. Seperti Sublime, CP editor, Neovim, Emacs, dan Vim. Aku memilih Sublime sebagai alternatif Vscode, jika membutuhkan penulisan kode yang cepat.</t>
  </si>
  <si>
    <t>Aku menginstal Sublime text, dan karena sublime teks tidak bisa langsung dipakai, aku harus melakukan beberapa konfigurasi awal, memastikan bahwa sublime teks sama nyamanya, dan lebih cepat dari VS code untuk saat ini.</t>
  </si>
  <si>
    <t>Komputer Kampus masih menggunakan Dev C++, dan karena dev c++ hanya menggunakan compiler lama, yaitu versi c++14, aku tidak bisa menggunakan fungsi-fungsi terbaru yang disediakan oleh compiler terbaru, seperti C++23. Selain itu, devC++ juga cukup berat, tidak praktis, dan tidak bisa membuat snippet semudah vsCode atau Sublime, dan diperparah dengan tidak adanya fitur autocomplete selengkap vsCode atau Sublime terkonfigurasi.</t>
  </si>
  <si>
    <t xml:space="preserve">Menggunakan "Compiler Portable", aku berencana untuk menggunakan Sublime menjadi  kode editor portabel. Sublime menyediakan instalasi ini di situsnya, dan bisa diunduh secara gratis. Selain itu, aku juga harus menginstal 2 jenis sublime, dan 2 jenis versi compiler, untuk mengantisipasi perbedaan arsitektur komputer yang digunakan. Dan juga pekerjaan ekstra sebagai berikut:
- Memasang 2 jenis compiler MinGW versi terbaru 15.0, dimana versi ini menyediakan compiler untuk C++20 dan C++23
- Memasang 2 jenis sublime, untuk versi 64_bit dan 32_bit
- Mengkonfigurasi bagaimana caranya agar sublime bisa mengeksekusi perintah compile and run, sekaligus menjalankan terminal di komputer lain.
- Membuat struktur perintah yang menjalankan compile dengan meletakanya ke folder bin, sama seperti vsCode. Hal ini akan membuat struktur folder menjadi rapi.
- Mempersiapkan semua environtmen tadi, untuk bisa digunakan didalam flashdisk, sehingga benar-benar portable.
- Mendokumentasikan perubahan ini, dan menyimpan perubahan ini di github.
</t>
  </si>
  <si>
    <t>Aku menggunakan teks editor yang lebih ringan dan cepat seperti sublime teks, dan karena dirasa vscode akan menjadi terlalu berat dan berlebihan jika aku hanya menerjakan beberapa soal atau melakukan latihan sesi pendek.</t>
  </si>
  <si>
    <t xml:space="preserve">Aku menginstal github, codeforcs ally, leetcode ally, dan contest tracker di hp. Membuatkau bisa melihat jadwal dan perkembanganku di HP. </t>
  </si>
  <si>
    <t>Aku menginstal CXXDroid, aplikasi yang membuatkau bisa menulis C++ di 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</si>
</sst>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Light"/>
      <family val="2"/>
      <scheme val="major"/>
    </font>
    <font>
      <u/>
      <sz val="11"/>
      <color theme="10"/>
      <name val="Calibri"/>
      <family val="2"/>
      <scheme val="minor"/>
    </font>
  </fonts>
  <fills count="2">
    <fill>
      <patternFill patternType="none"/>
    </fill>
    <fill>
      <patternFill patternType="gray125"/>
    </fill>
  </fills>
  <borders count="1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14" fontId="0" fillId="0" borderId="0" xfId="0" applyNumberFormat="1"/>
    <xf numFmtId="0" fontId="0" fillId="0" borderId="0" xfId="0" applyAlignment="1">
      <alignment wrapText="1"/>
    </xf>
    <xf numFmtId="0" fontId="2" fillId="0" borderId="0" xfId="1"/>
    <xf numFmtId="0" fontId="1" fillId="0" borderId="2" xfId="0" applyFont="1" applyBorder="1" applyAlignment="1">
      <alignment wrapText="1"/>
    </xf>
    <xf numFmtId="0" fontId="1" fillId="0" borderId="4" xfId="0" applyFont="1" applyBorder="1" applyAlignment="1">
      <alignment wrapText="1"/>
    </xf>
    <xf numFmtId="14" fontId="0" fillId="0" borderId="5" xfId="0" applyNumberFormat="1" applyBorder="1"/>
    <xf numFmtId="0" fontId="0" fillId="0" borderId="6" xfId="0" applyBorder="1" applyAlignment="1">
      <alignment wrapText="1"/>
    </xf>
    <xf numFmtId="14" fontId="0" fillId="0" borderId="1" xfId="0" applyNumberFormat="1" applyBorder="1"/>
    <xf numFmtId="0" fontId="0" fillId="0" borderId="2" xfId="0" applyBorder="1" applyAlignment="1">
      <alignment wrapText="1"/>
    </xf>
    <xf numFmtId="0" fontId="0" fillId="0" borderId="7" xfId="0" applyBorder="1"/>
    <xf numFmtId="0" fontId="0" fillId="0" borderId="8" xfId="0" applyBorder="1" applyAlignment="1">
      <alignment wrapText="1"/>
    </xf>
    <xf numFmtId="0" fontId="0" fillId="0" borderId="3" xfId="0" applyBorder="1"/>
    <xf numFmtId="0" fontId="0" fillId="0" borderId="4" xfId="0" applyBorder="1" applyAlignment="1">
      <alignment wrapText="1"/>
    </xf>
    <xf numFmtId="0" fontId="0" fillId="0" borderId="8" xfId="0" applyBorder="1"/>
    <xf numFmtId="14" fontId="0" fillId="0" borderId="7" xfId="0" applyNumberFormat="1" applyBorder="1"/>
    <xf numFmtId="0" fontId="0" fillId="0" borderId="0" xfId="0" applyAlignment="1">
      <alignment vertical="top" wrapText="1"/>
    </xf>
    <xf numFmtId="0" fontId="0" fillId="0" borderId="9" xfId="0" applyBorder="1" applyAlignment="1">
      <alignment wrapText="1"/>
    </xf>
    <xf numFmtId="0" fontId="0" fillId="0" borderId="10" xfId="0" applyBorder="1" applyAlignment="1">
      <alignment wrapText="1"/>
    </xf>
    <xf numFmtId="0" fontId="0" fillId="0" borderId="10" xfId="0" applyBorder="1" applyAlignment="1">
      <alignment vertical="top" wrapText="1"/>
    </xf>
    <xf numFmtId="0" fontId="0" fillId="0" borderId="11" xfId="0" applyBorder="1" applyAlignment="1">
      <alignment vertical="top" wrapText="1"/>
    </xf>
    <xf numFmtId="14" fontId="0" fillId="0" borderId="1" xfId="0" applyNumberFormat="1" applyBorder="1" applyAlignment="1">
      <alignment horizontal="center" vertical="center"/>
    </xf>
    <xf numFmtId="14" fontId="0" fillId="0" borderId="3" xfId="0" applyNumberForma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codeforces.com/problemset/problem/263/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1D918-CFA6-4278-BDE8-1934B507584E}">
  <dimension ref="A2:D40"/>
  <sheetViews>
    <sheetView tabSelected="1" topLeftCell="A37" workbookViewId="0">
      <selection activeCell="C49" sqref="C49"/>
    </sheetView>
  </sheetViews>
  <sheetFormatPr defaultRowHeight="14.4" x14ac:dyDescent="0.3"/>
  <cols>
    <col min="1" max="1" width="26.6640625" customWidth="1"/>
    <col min="2" max="2" width="67.109375" customWidth="1"/>
    <col min="3" max="3" width="55.21875" customWidth="1"/>
    <col min="4" max="4" width="22.6640625" customWidth="1"/>
  </cols>
  <sheetData>
    <row r="2" spans="1:4" x14ac:dyDescent="0.3">
      <c r="A2" t="s">
        <v>0</v>
      </c>
      <c r="B2" t="s">
        <v>1</v>
      </c>
      <c r="C2" t="s">
        <v>13</v>
      </c>
      <c r="D2" t="s">
        <v>14</v>
      </c>
    </row>
    <row r="4" spans="1:4" ht="57.6" x14ac:dyDescent="0.3">
      <c r="A4" s="21">
        <f>DATE(2025,3,2)</f>
        <v>45718</v>
      </c>
      <c r="B4" s="4" t="s">
        <v>2</v>
      </c>
      <c r="C4" t="s">
        <v>15</v>
      </c>
    </row>
    <row r="5" spans="1:4" ht="43.2" x14ac:dyDescent="0.3">
      <c r="A5" s="22"/>
      <c r="B5" s="5" t="s">
        <v>3</v>
      </c>
    </row>
    <row r="6" spans="1:4" x14ac:dyDescent="0.3">
      <c r="B6" s="2"/>
    </row>
    <row r="7" spans="1:4" ht="43.2" x14ac:dyDescent="0.3">
      <c r="A7" s="6">
        <f>DATE(2025,3,3)</f>
        <v>45719</v>
      </c>
      <c r="B7" s="7" t="s">
        <v>4</v>
      </c>
    </row>
    <row r="8" spans="1:4" x14ac:dyDescent="0.3">
      <c r="B8" s="2"/>
    </row>
    <row r="9" spans="1:4" ht="86.4" x14ac:dyDescent="0.3">
      <c r="A9" s="8">
        <f>DATE(2025,5,4)</f>
        <v>45781</v>
      </c>
      <c r="B9" s="9" t="s">
        <v>5</v>
      </c>
    </row>
    <row r="10" spans="1:4" ht="28.8" x14ac:dyDescent="0.3">
      <c r="A10" s="10"/>
      <c r="B10" s="11" t="s">
        <v>6</v>
      </c>
    </row>
    <row r="11" spans="1:4" ht="28.8" x14ac:dyDescent="0.3">
      <c r="A11" s="10"/>
      <c r="B11" s="11" t="s">
        <v>7</v>
      </c>
    </row>
    <row r="12" spans="1:4" ht="57.6" x14ac:dyDescent="0.3">
      <c r="A12" s="10"/>
      <c r="B12" s="11" t="s">
        <v>8</v>
      </c>
    </row>
    <row r="13" spans="1:4" x14ac:dyDescent="0.3">
      <c r="A13" s="12"/>
      <c r="B13" s="13" t="s">
        <v>9</v>
      </c>
    </row>
    <row r="14" spans="1:4" x14ac:dyDescent="0.3">
      <c r="A14" s="1"/>
    </row>
    <row r="15" spans="1:4" ht="40.799999999999997" customHeight="1" x14ac:dyDescent="0.3">
      <c r="A15" s="8">
        <f>DATE(2025,5,5)</f>
        <v>45782</v>
      </c>
      <c r="B15" s="9" t="s">
        <v>10</v>
      </c>
    </row>
    <row r="16" spans="1:4" ht="43.2" x14ac:dyDescent="0.3">
      <c r="A16" s="10"/>
      <c r="B16" s="11" t="s">
        <v>11</v>
      </c>
    </row>
    <row r="17" spans="1:2" ht="28.8" x14ac:dyDescent="0.3">
      <c r="A17" s="10"/>
      <c r="B17" s="11" t="s">
        <v>12</v>
      </c>
    </row>
    <row r="18" spans="1:2" x14ac:dyDescent="0.3">
      <c r="A18" s="12"/>
      <c r="B18" s="13" t="s">
        <v>20</v>
      </c>
    </row>
    <row r="20" spans="1:2" ht="28.8" x14ac:dyDescent="0.3">
      <c r="A20" s="8">
        <f>DATE(2025,5,7)</f>
        <v>45784</v>
      </c>
      <c r="B20" s="9" t="s">
        <v>21</v>
      </c>
    </row>
    <row r="21" spans="1:2" ht="43.2" x14ac:dyDescent="0.3">
      <c r="A21" s="10"/>
      <c r="B21" s="11" t="s">
        <v>22</v>
      </c>
    </row>
    <row r="22" spans="1:2" ht="72" x14ac:dyDescent="0.3">
      <c r="A22" s="10"/>
      <c r="B22" s="11" t="s">
        <v>23</v>
      </c>
    </row>
    <row r="23" spans="1:2" ht="43.2" x14ac:dyDescent="0.3">
      <c r="A23" s="12"/>
      <c r="B23" s="13" t="s">
        <v>24</v>
      </c>
    </row>
    <row r="25" spans="1:2" ht="43.2" x14ac:dyDescent="0.3">
      <c r="A25" s="8">
        <f>DATE(2025,5,8)</f>
        <v>45785</v>
      </c>
      <c r="B25" s="9" t="s">
        <v>25</v>
      </c>
    </row>
    <row r="26" spans="1:2" ht="28.8" x14ac:dyDescent="0.3">
      <c r="A26" s="10"/>
      <c r="B26" s="11" t="s">
        <v>26</v>
      </c>
    </row>
    <row r="27" spans="1:2" ht="72" x14ac:dyDescent="0.3">
      <c r="A27" s="10"/>
      <c r="B27" s="11" t="s">
        <v>27</v>
      </c>
    </row>
    <row r="28" spans="1:2" x14ac:dyDescent="0.3">
      <c r="A28" s="10"/>
      <c r="B28" s="14"/>
    </row>
    <row r="29" spans="1:2" ht="86.4" x14ac:dyDescent="0.3">
      <c r="A29" s="15"/>
      <c r="B29" s="11" t="s">
        <v>28</v>
      </c>
    </row>
    <row r="30" spans="1:2" ht="28.8" x14ac:dyDescent="0.3">
      <c r="A30" s="12"/>
      <c r="B30" s="13" t="s">
        <v>29</v>
      </c>
    </row>
    <row r="32" spans="1:2" ht="86.4" x14ac:dyDescent="0.3">
      <c r="A32" s="1">
        <f>DATE(2025,5,9)</f>
        <v>45786</v>
      </c>
      <c r="B32" s="17" t="s">
        <v>30</v>
      </c>
    </row>
    <row r="33" spans="1:3" x14ac:dyDescent="0.3">
      <c r="B33" s="18" t="s">
        <v>31</v>
      </c>
    </row>
    <row r="34" spans="1:3" ht="86.4" x14ac:dyDescent="0.3">
      <c r="B34" s="19" t="s">
        <v>32</v>
      </c>
      <c r="C34" s="16" t="s">
        <v>33</v>
      </c>
    </row>
    <row r="35" spans="1:3" ht="43.2" x14ac:dyDescent="0.3">
      <c r="B35" s="18" t="s">
        <v>34</v>
      </c>
    </row>
    <row r="36" spans="1:3" ht="316.8" x14ac:dyDescent="0.3">
      <c r="B36" s="20" t="s">
        <v>35</v>
      </c>
      <c r="C36" s="16" t="s">
        <v>36</v>
      </c>
    </row>
    <row r="38" spans="1:3" x14ac:dyDescent="0.3">
      <c r="A38" s="1">
        <f>DATE(2025,5,13)</f>
        <v>45790</v>
      </c>
      <c r="B38" t="s">
        <v>37</v>
      </c>
    </row>
    <row r="39" spans="1:3" x14ac:dyDescent="0.3">
      <c r="B39" t="s">
        <v>38</v>
      </c>
    </row>
    <row r="40" spans="1:3" x14ac:dyDescent="0.3">
      <c r="B40" t="s">
        <v>39</v>
      </c>
    </row>
  </sheetData>
  <mergeCells count="1">
    <mergeCell ref="A4:A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72FC9-4F85-4A8E-831C-06B38E183FA5}">
  <dimension ref="A1"/>
  <sheetViews>
    <sheetView workbookViewId="0"/>
  </sheetViews>
  <sheetFormatPr defaultRowHeight="14.4" x14ac:dyDescent="0.3"/>
  <sheetData>
    <row r="1" spans="1:1" x14ac:dyDescent="0.3">
      <c r="A1" t="s">
        <v>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FD079-BED8-4ADD-ABB4-A39B542DE3F8}">
  <dimension ref="A1:A5"/>
  <sheetViews>
    <sheetView workbookViewId="0">
      <selection activeCell="B5" sqref="B5"/>
    </sheetView>
  </sheetViews>
  <sheetFormatPr defaultRowHeight="14.4" x14ac:dyDescent="0.3"/>
  <cols>
    <col min="1" max="1" width="24.44140625" customWidth="1"/>
  </cols>
  <sheetData>
    <row r="1" spans="1:1" x14ac:dyDescent="0.3">
      <c r="A1" t="s">
        <v>17</v>
      </c>
    </row>
    <row r="3" spans="1:1" x14ac:dyDescent="0.3">
      <c r="A3" t="s">
        <v>18</v>
      </c>
    </row>
    <row r="5" spans="1:1" x14ac:dyDescent="0.3">
      <c r="A5" s="3" t="s">
        <v>19</v>
      </c>
    </row>
  </sheetData>
  <hyperlinks>
    <hyperlink ref="A5" r:id="rId1" xr:uid="{C6DFA47D-09EF-415C-93DB-FDBA712369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Lebih Baik</vt:lpstr>
      <vt:lpstr>Sheet2</vt:lpstr>
      <vt:lpstr>Graph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Tri Haji K. Rohman</dc:creator>
  <cp:lastModifiedBy>Tri Haji K. Rohman</cp:lastModifiedBy>
  <dcterms:created xsi:type="dcterms:W3CDTF">2025-05-05T12:34:04Z</dcterms:created>
  <dcterms:modified xsi:type="dcterms:W3CDTF">2025-05-13T04:01:06Z</dcterms:modified>
</cp:coreProperties>
</file>